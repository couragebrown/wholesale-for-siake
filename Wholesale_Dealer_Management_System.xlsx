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8_{BCFFB35C-22A0-4BB7-9FE5-59D70F17EB8A}" xr6:coauthVersionLast="47" xr6:coauthVersionMax="47" xr10:uidLastSave="{00000000-0000-0000-0000-000000000000}"/>
  <bookViews>
    <workbookView xWindow="-108" yWindow="-108" windowWidth="23256" windowHeight="13896" xr2:uid="{E703232E-5340-4646-9CA1-BC77FF4C76AB}"/>
  </bookViews>
  <sheets>
    <sheet name="Dashboard" sheetId="1" r:id="rId1"/>
    <sheet name="Orders Ledger" sheetId="2" r:id="rId2"/>
    <sheet name="Payment History" sheetId="5" r:id="rId3"/>
    <sheet name="Suppliers" sheetId="6" r:id="rId4"/>
    <sheet name="Supplier Purchases" sheetId="7" r:id="rId5"/>
    <sheet name="Supplier Payments" sheetId="8" r:id="rId6"/>
    <sheet name="Dealers" sheetId="3" r:id="rId7"/>
    <sheet name="Products" sheetId="4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C6" i="1"/>
  <c r="C5" i="1"/>
  <c r="C4" i="1"/>
</calcChain>
</file>

<file path=xl/sharedStrings.xml><?xml version="1.0" encoding="utf-8"?>
<sst xmlns="http://schemas.openxmlformats.org/spreadsheetml/2006/main" count="468" uniqueCount="259">
  <si>
    <t>SKU</t>
  </si>
  <si>
    <t>Category</t>
  </si>
  <si>
    <t>Product Name</t>
  </si>
  <si>
    <t>Unit</t>
  </si>
  <si>
    <t>Wholesale Price (GHâ‚µ)</t>
  </si>
  <si>
    <t>Current Stock</t>
  </si>
  <si>
    <t>SKU-1016</t>
  </si>
  <si>
    <t>fsd</t>
  </si>
  <si>
    <t>srfgf</t>
  </si>
  <si>
    <t>fdsf</t>
  </si>
  <si>
    <t>SKU-1001</t>
  </si>
  <si>
    <t>Beverages</t>
  </si>
  <si>
    <t>Premium Roast Coffee Beans (1kg)</t>
  </si>
  <si>
    <t>Carton (12 Bags)</t>
  </si>
  <si>
    <t>SKU-1002</t>
  </si>
  <si>
    <t>Organic Green Tea Extract (100 bags)</t>
  </si>
  <si>
    <t>Case (24 Boxes)</t>
  </si>
  <si>
    <t>SKU-1003</t>
  </si>
  <si>
    <t>Pure Sparkling Mineral Water 500ml</t>
  </si>
  <si>
    <t>Tray (24 Bottles)</t>
  </si>
  <si>
    <t>SKU-1004</t>
  </si>
  <si>
    <t>Packaged Foods</t>
  </si>
  <si>
    <t>Extra Virgin Olive Oil 1L</t>
  </si>
  <si>
    <t>Case (12 Bottles)</t>
  </si>
  <si>
    <t>SKU-1005</t>
  </si>
  <si>
    <t>Durum Wheat Semolina Pasta 500g</t>
  </si>
  <si>
    <t>Carton (20 Packs)</t>
  </si>
  <si>
    <t>SKU-1006</t>
  </si>
  <si>
    <t>Organic Basmati Long Grain Rice 5kg</t>
  </si>
  <si>
    <t>Bale (6 Bags)</t>
  </si>
  <si>
    <t>SKU-1007</t>
  </si>
  <si>
    <t>Canned San Marzano Tomatoes 800g</t>
  </si>
  <si>
    <t>Case (24 Cans)</t>
  </si>
  <si>
    <t>SKU-1008</t>
  </si>
  <si>
    <t>Home Care</t>
  </si>
  <si>
    <t>Ultra Concentrated Laundry Liquid 3L</t>
  </si>
  <si>
    <t>Case (4 Jugs)</t>
  </si>
  <si>
    <t>SKU-1009</t>
  </si>
  <si>
    <t>Antibacterial Surface Disinfectant 750ml</t>
  </si>
  <si>
    <t>Box (12 Sprays)</t>
  </si>
  <si>
    <t>SKU-1010</t>
  </si>
  <si>
    <t>Biodegradable Dishwashing Gel 1L</t>
  </si>
  <si>
    <t>SKU-1011</t>
  </si>
  <si>
    <t>Personal Care</t>
  </si>
  <si>
    <t>Moisturizing Shea Body Wash 500ml</t>
  </si>
  <si>
    <t>SKU-1012</t>
  </si>
  <si>
    <t>Invigorating Daily Shampoo 400ml</t>
  </si>
  <si>
    <t>SKU-1013</t>
  </si>
  <si>
    <t>Snacks &amp; Sweets</t>
  </si>
  <si>
    <t>Dark Chocolate Artisan Bars 100g</t>
  </si>
  <si>
    <t>Display (24 Bars)</t>
  </si>
  <si>
    <t>SKU-1014</t>
  </si>
  <si>
    <t>Roasted Salted Almonds 250g</t>
  </si>
  <si>
    <t>Box (16 Bags)</t>
  </si>
  <si>
    <t>SKU-1015</t>
  </si>
  <si>
    <t>Gluten-Free Sea Salt Crackers 150g</t>
  </si>
  <si>
    <t>Carton (18 Boxes)</t>
  </si>
  <si>
    <t>Dealer ID</t>
  </si>
  <si>
    <t>Company Name</t>
  </si>
  <si>
    <t>Contact Person</t>
  </si>
  <si>
    <t>Phone</t>
  </si>
  <si>
    <t>Location</t>
  </si>
  <si>
    <t>Terms</t>
  </si>
  <si>
    <t>DLR-01</t>
  </si>
  <si>
    <t>Apex Supermarket Chain</t>
  </si>
  <si>
    <t>Marcus Vance</t>
  </si>
  <si>
    <t>+1 (555) 234-8901</t>
  </si>
  <si>
    <t>North Metro Hub</t>
  </si>
  <si>
    <t>Net 30</t>
  </si>
  <si>
    <t>DLR-02</t>
  </si>
  <si>
    <t>Silverline Wholesale Mart</t>
  </si>
  <si>
    <t>Elena Rostova</t>
  </si>
  <si>
    <t>+1 (555) 345-6712</t>
  </si>
  <si>
    <t>Downtown Central</t>
  </si>
  <si>
    <t>Net 15</t>
  </si>
  <si>
    <t>DLR-03</t>
  </si>
  <si>
    <t>Golden Gate Retailers</t>
  </si>
  <si>
    <t>David Chen</t>
  </si>
  <si>
    <t>+1 (555) 456-1123</t>
  </si>
  <si>
    <t>Westside District</t>
  </si>
  <si>
    <t>DLR-04</t>
  </si>
  <si>
    <t>Metro Cash &amp; Carry</t>
  </si>
  <si>
    <t>Sarah Jenkins</t>
  </si>
  <si>
    <t>+1 (555) 567-8834</t>
  </si>
  <si>
    <t>East Industrial Park</t>
  </si>
  <si>
    <t>Cash On Delivery</t>
  </si>
  <si>
    <t>DLR-05</t>
  </si>
  <si>
    <t>Sunrise Convenience Co.</t>
  </si>
  <si>
    <t>Tariq Mansoor</t>
  </si>
  <si>
    <t>+1 (555) 678-9945</t>
  </si>
  <si>
    <t>Airport Commercial Zone</t>
  </si>
  <si>
    <t>DLR-06</t>
  </si>
  <si>
    <t>Prime Horizon Grocers</t>
  </si>
  <si>
    <t>Chloe Bennett</t>
  </si>
  <si>
    <t>+1 (555) 789-2256</t>
  </si>
  <si>
    <t>South Suburbs</t>
  </si>
  <si>
    <t>DLR-07</t>
  </si>
  <si>
    <t>Oakridge Provisions</t>
  </si>
  <si>
    <t>Samuel Adebayo</t>
  </si>
  <si>
    <t>+1 (555) 890-3367</t>
  </si>
  <si>
    <t>Harbor Commercial Area</t>
  </si>
  <si>
    <t>DLR-08</t>
  </si>
  <si>
    <t>Crestview General Store</t>
  </si>
  <si>
    <t>Maria Santos</t>
  </si>
  <si>
    <t>+1 (555) 901-4478</t>
  </si>
  <si>
    <t>Valley Town Center</t>
  </si>
  <si>
    <t>DLR-09</t>
  </si>
  <si>
    <t>decent marketing</t>
  </si>
  <si>
    <t>decent</t>
  </si>
  <si>
    <t>fgg</t>
  </si>
  <si>
    <t>fgdg</t>
  </si>
  <si>
    <t>Advance Payment</t>
  </si>
  <si>
    <t>Order ID</t>
  </si>
  <si>
    <t>Date</t>
  </si>
  <si>
    <t>Invoice</t>
  </si>
  <si>
    <t>Dealer</t>
  </si>
  <si>
    <t>Product</t>
  </si>
  <si>
    <t>Unit Price (GHâ‚µ)</t>
  </si>
  <si>
    <t>Qty</t>
  </si>
  <si>
    <t>Total Due (GHâ‚µ)</t>
  </si>
  <si>
    <t>Amount Paid (GHâ‚µ)</t>
  </si>
  <si>
    <t>Balance (GHâ‚µ)</t>
  </si>
  <si>
    <t>Status</t>
  </si>
  <si>
    <t>ORD-2026-116</t>
  </si>
  <si>
    <t>INV-8816</t>
  </si>
  <si>
    <t>Partial Payment</t>
  </si>
  <si>
    <t>ORD-2026-101</t>
  </si>
  <si>
    <t>INV-8801</t>
  </si>
  <si>
    <t>Paid In Full</t>
  </si>
  <si>
    <t>ORD-2026-102</t>
  </si>
  <si>
    <t>INV-8802</t>
  </si>
  <si>
    <t>ORD-2026-103</t>
  </si>
  <si>
    <t>INV-8803</t>
  </si>
  <si>
    <t>ORD-2026-104</t>
  </si>
  <si>
    <t>INV-8804</t>
  </si>
  <si>
    <t>ORD-2026-105</t>
  </si>
  <si>
    <t>INV-8805</t>
  </si>
  <si>
    <t>ORD-2026-106</t>
  </si>
  <si>
    <t>INV-8806</t>
  </si>
  <si>
    <t>ORD-2026-107</t>
  </si>
  <si>
    <t>INV-8807</t>
  </si>
  <si>
    <t>ORD-2026-108</t>
  </si>
  <si>
    <t>INV-8808</t>
  </si>
  <si>
    <t>ORD-2026-109</t>
  </si>
  <si>
    <t>INV-8809</t>
  </si>
  <si>
    <t>ORD-2026-110</t>
  </si>
  <si>
    <t>INV-8810</t>
  </si>
  <si>
    <t>ORD-2026-111</t>
  </si>
  <si>
    <t>INV-8811</t>
  </si>
  <si>
    <t>Pending / Unpaid</t>
  </si>
  <si>
    <t>ORD-2026-112</t>
  </si>
  <si>
    <t>INV-8812</t>
  </si>
  <si>
    <t>ORD-2026-113</t>
  </si>
  <si>
    <t>INV-8813</t>
  </si>
  <si>
    <t>ORD-2026-114</t>
  </si>
  <si>
    <t>INV-8814</t>
  </si>
  <si>
    <t>ORD-2026-115</t>
  </si>
  <si>
    <t>INV-8815</t>
  </si>
  <si>
    <t>Payment ID</t>
  </si>
  <si>
    <t>Dealer Name</t>
  </si>
  <si>
    <t>Method</t>
  </si>
  <si>
    <t>Reference</t>
  </si>
  <si>
    <t>Notes</t>
  </si>
  <si>
    <t>PAY-2026-032</t>
  </si>
  <si>
    <t>Mobile Money</t>
  </si>
  <si>
    <t>kk</t>
  </si>
  <si>
    <t>boss</t>
  </si>
  <si>
    <t>PAY-2026-031</t>
  </si>
  <si>
    <t>Bank Transfer</t>
  </si>
  <si>
    <t>made with honor</t>
  </si>
  <si>
    <t>PAY-2026-030</t>
  </si>
  <si>
    <t>Debt payment recorded on 2026-10-07</t>
  </si>
  <si>
    <t>PAY-2026-029</t>
  </si>
  <si>
    <t>PAY-2026-028</t>
  </si>
  <si>
    <t>PAY-2026-027</t>
  </si>
  <si>
    <t>PAY-2026-026</t>
  </si>
  <si>
    <t>PAY-2026-025</t>
  </si>
  <si>
    <t>PAY-2026-024</t>
  </si>
  <si>
    <t>PAY-2026-023</t>
  </si>
  <si>
    <t>PAY-2026-022</t>
  </si>
  <si>
    <t>PAY-2026-021</t>
  </si>
  <si>
    <t>PAY-2026-020</t>
  </si>
  <si>
    <t>PAY-2026-019</t>
  </si>
  <si>
    <t>PAY-2026-018</t>
  </si>
  <si>
    <t>PAY-2026-017</t>
  </si>
  <si>
    <t>PAY-2026-016</t>
  </si>
  <si>
    <t>PAY-2026-015</t>
  </si>
  <si>
    <t>PAY-2026-014</t>
  </si>
  <si>
    <t>PAY-2026-001</t>
  </si>
  <si>
    <t>Order payment for INV-8801</t>
  </si>
  <si>
    <t>PAY-2026-002</t>
  </si>
  <si>
    <t>Order payment for INV-8802</t>
  </si>
  <si>
    <t>PAY-2026-003</t>
  </si>
  <si>
    <t>Cheque #4491</t>
  </si>
  <si>
    <t>Deposit payment for INV-8803</t>
  </si>
  <si>
    <t>PAY-2026-004</t>
  </si>
  <si>
    <t>Full COD payment</t>
  </si>
  <si>
    <t>PAY-2026-005</t>
  </si>
  <si>
    <t>Payment for INV-8805</t>
  </si>
  <si>
    <t>PAY-2026-006</t>
  </si>
  <si>
    <t>Partial settlement</t>
  </si>
  <si>
    <t>PAY-2026-007</t>
  </si>
  <si>
    <t>Full invoice payment</t>
  </si>
  <si>
    <t>PAY-2026-008</t>
  </si>
  <si>
    <t>Cash settlement</t>
  </si>
  <si>
    <t>PAY-2026-009</t>
  </si>
  <si>
    <t>Cheque #8812</t>
  </si>
  <si>
    <t>Partial payment for chocolates</t>
  </si>
  <si>
    <t>PAY-2026-010</t>
  </si>
  <si>
    <t>PAY-2026-011</t>
  </si>
  <si>
    <t>Partial payment</t>
  </si>
  <si>
    <t>PAY-2026-012</t>
  </si>
  <si>
    <t>PAY-2026-013</t>
  </si>
  <si>
    <t>Partial payment for shampoo</t>
  </si>
  <si>
    <t>Supplier ID</t>
  </si>
  <si>
    <t>Supplier / Company</t>
  </si>
  <si>
    <t>SUP-01</t>
  </si>
  <si>
    <t>Volta Mills &amp; Grains Ltd</t>
  </si>
  <si>
    <t>Kofi Boateng</t>
  </si>
  <si>
    <t>+233 24 555 1020</t>
  </si>
  <si>
    <t>Tema Heavy Industrial Area</t>
  </si>
  <si>
    <t>Major grains and rice importer</t>
  </si>
  <si>
    <t>SUP-02</t>
  </si>
  <si>
    <t>Gold Coast Beverage Bottlers</t>
  </si>
  <si>
    <t>Akosua Danquah</t>
  </si>
  <si>
    <t>+233 20 888 3040</t>
  </si>
  <si>
    <t>Spintex Road, Accra</t>
  </si>
  <si>
    <t>Beverage and coffee distributor</t>
  </si>
  <si>
    <t>SUP-03</t>
  </si>
  <si>
    <t>Atlantic Hygiene Imports</t>
  </si>
  <si>
    <t>Ibrahim Salifu</t>
  </si>
  <si>
    <t>+233 27 777 5060</t>
  </si>
  <si>
    <t>Takoradi Commercial Harbor</t>
  </si>
  <si>
    <t>Homecare and cleaning products supplier</t>
  </si>
  <si>
    <t>Purchase ID</t>
  </si>
  <si>
    <t>Supplier Name</t>
  </si>
  <si>
    <t>Quantity</t>
  </si>
  <si>
    <t>Unit Cost (GHâ‚µ)</t>
  </si>
  <si>
    <t>Balance Owed (GHâ‚µ)</t>
  </si>
  <si>
    <t>PUR-2026-001</t>
  </si>
  <si>
    <t>Batch #GR-8819 received in main warehouse</t>
  </si>
  <si>
    <t>PUR-2026-002</t>
  </si>
  <si>
    <t>Full shipment paid upon delivery</t>
  </si>
  <si>
    <t>PUR-2026-003</t>
  </si>
  <si>
    <t>Balance due in 10 days</t>
  </si>
  <si>
    <t>SPAY-2026-001</t>
  </si>
  <si>
    <t>CHQ-8902</t>
  </si>
  <si>
    <t>Initial deposit for Basmati Rice batch #GR-8819</t>
  </si>
  <si>
    <t>SPAY-2026-002</t>
  </si>
  <si>
    <t>FT-99120</t>
  </si>
  <si>
    <t>Full payment for Premium Coffee beans order</t>
  </si>
  <si>
    <t>SPAY-2026-003</t>
  </si>
  <si>
    <t>MOM-4821</t>
  </si>
  <si>
    <t>Cash down payment on delivery</t>
  </si>
  <si>
    <t>SIAKA WHOLESALE FLOW - PERFORMANCE SUMMARY</t>
  </si>
  <si>
    <t>Total Orders Count:</t>
  </si>
  <si>
    <t>Total Revenue Billed:</t>
  </si>
  <si>
    <t>Total Cash Collected:</t>
  </si>
  <si>
    <t>Outstanding Debt Remaining: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</si>
</sst>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GHâ‚µ &quot;#,##0.00"/>
  </numFmts>
  <fonts count="5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scheme val="minor"/>
    </font>
    <font>
      <b/>
      <sz val="11"/>
      <color rgb="FFFFFFFF"/>
      <name val="等线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B579A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1B565D"/>
        <bgColor indexed="64"/>
      </patternFill>
    </fill>
    <fill>
      <patternFill patternType="solid">
        <fgColor rgb="FF40404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176" fontId="0" fillId="0" borderId="0" xfId="0" applyNumberFormat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14" fontId="0" fillId="0" borderId="0" xfId="0" applyNumberFormat="1">
      <alignment vertical="center"/>
    </xf>
    <xf numFmtId="0" fontId="2" fillId="5" borderId="0" xfId="0" applyFont="1" applyFill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176" fontId="1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1CDC7-E187-4BFB-BAA1-230EFDBF9ADA}">
  <dimension ref="B2:E7"/>
  <sheetViews>
    <sheetView tabSelected="1" workbookViewId="0"/>
  </sheetViews>
  <sheetFormatPr defaultRowHeight="13.8"/>
  <cols>
    <col min="2" max="2" width="31.109375" bestFit="1" customWidth="1"/>
    <col min="3" max="3" width="17.109375" bestFit="1" customWidth="1"/>
  </cols>
  <sheetData>
    <row r="2" spans="2:5" ht="17.399999999999999">
      <c r="B2" s="9" t="s">
        <v>254</v>
      </c>
      <c r="C2" s="8"/>
      <c r="D2" s="8"/>
      <c r="E2" s="8"/>
    </row>
    <row r="4" spans="2:5">
      <c r="B4" s="1" t="s">
        <v>255</v>
      </c>
      <c r="C4" s="1">
        <f>COUNTA('Orders Ledger'!A2:A18)</f>
        <v>16</v>
      </c>
    </row>
    <row r="5" spans="2:5">
      <c r="B5" s="1" t="s">
        <v>256</v>
      </c>
      <c r="C5" s="10">
        <f>SUM('Orders Ledger'!I2:I18)</f>
        <v>39986</v>
      </c>
    </row>
    <row r="6" spans="2:5">
      <c r="B6" s="1" t="s">
        <v>257</v>
      </c>
      <c r="C6" s="10">
        <f>SUM('Orders Ledger'!J2:J18)</f>
        <v>28443</v>
      </c>
    </row>
    <row r="7" spans="2:5">
      <c r="B7" s="1" t="s">
        <v>258</v>
      </c>
      <c r="C7" s="10">
        <f>SUM('Orders Ledger'!K2:K18)</f>
        <v>11543</v>
      </c>
    </row>
  </sheetData>
  <mergeCells count="1">
    <mergeCell ref="B2:E2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FEF15-9922-4C56-B0BD-28CDE182544A}">
  <dimension ref="A1:L18"/>
  <sheetViews>
    <sheetView workbookViewId="0"/>
  </sheetViews>
  <sheetFormatPr defaultRowHeight="13.8"/>
  <cols>
    <col min="1" max="1" width="15" bestFit="1" customWidth="1"/>
    <col min="2" max="2" width="11.21875" bestFit="1" customWidth="1"/>
    <col min="3" max="3" width="9.6640625" bestFit="1" customWidth="1"/>
    <col min="4" max="4" width="24.109375" bestFit="1" customWidth="1"/>
    <col min="5" max="5" width="37.6640625" bestFit="1" customWidth="1"/>
    <col min="6" max="6" width="17.109375" bestFit="1" customWidth="1"/>
    <col min="7" max="7" width="19" bestFit="1" customWidth="1"/>
    <col min="8" max="8" width="4.88671875" bestFit="1" customWidth="1"/>
    <col min="9" max="9" width="18.88671875" bestFit="1" customWidth="1"/>
    <col min="10" max="10" width="22.33203125" bestFit="1" customWidth="1"/>
    <col min="11" max="11" width="16.6640625" bestFit="1" customWidth="1"/>
    <col min="12" max="12" width="17.21875" bestFit="1" customWidth="1"/>
  </cols>
  <sheetData>
    <row r="1" spans="1:12">
      <c r="A1" s="5" t="s">
        <v>112</v>
      </c>
      <c r="B1" s="5" t="s">
        <v>113</v>
      </c>
      <c r="C1" s="5" t="s">
        <v>114</v>
      </c>
      <c r="D1" s="5" t="s">
        <v>115</v>
      </c>
      <c r="E1" s="5" t="s">
        <v>116</v>
      </c>
      <c r="F1" s="5" t="s">
        <v>3</v>
      </c>
      <c r="G1" s="5" t="s">
        <v>117</v>
      </c>
      <c r="H1" s="5" t="s">
        <v>118</v>
      </c>
      <c r="I1" s="5" t="s">
        <v>119</v>
      </c>
      <c r="J1" s="5" t="s">
        <v>120</v>
      </c>
      <c r="K1" s="5" t="s">
        <v>121</v>
      </c>
      <c r="L1" s="5" t="s">
        <v>122</v>
      </c>
    </row>
    <row r="2" spans="1:12">
      <c r="A2" t="s">
        <v>123</v>
      </c>
      <c r="B2" s="6">
        <v>46302</v>
      </c>
      <c r="C2" t="s">
        <v>124</v>
      </c>
      <c r="D2" t="s">
        <v>107</v>
      </c>
      <c r="E2" t="s">
        <v>46</v>
      </c>
      <c r="F2" t="s">
        <v>23</v>
      </c>
      <c r="G2" s="3">
        <v>46.5</v>
      </c>
      <c r="H2">
        <v>100</v>
      </c>
      <c r="I2" s="3">
        <v>4650</v>
      </c>
      <c r="J2" s="3">
        <v>1036</v>
      </c>
      <c r="K2" s="3">
        <v>3614</v>
      </c>
      <c r="L2" t="s">
        <v>125</v>
      </c>
    </row>
    <row r="3" spans="1:12">
      <c r="A3" t="s">
        <v>126</v>
      </c>
      <c r="B3" s="6">
        <v>46267</v>
      </c>
      <c r="C3" t="s">
        <v>127</v>
      </c>
      <c r="D3" t="s">
        <v>64</v>
      </c>
      <c r="E3" t="s">
        <v>12</v>
      </c>
      <c r="F3" t="s">
        <v>13</v>
      </c>
      <c r="G3" s="3">
        <v>145</v>
      </c>
      <c r="H3">
        <v>25</v>
      </c>
      <c r="I3" s="3">
        <v>3625</v>
      </c>
      <c r="J3" s="3">
        <v>3625</v>
      </c>
      <c r="K3" s="3">
        <v>0</v>
      </c>
      <c r="L3" t="s">
        <v>128</v>
      </c>
    </row>
    <row r="4" spans="1:12">
      <c r="A4" t="s">
        <v>129</v>
      </c>
      <c r="B4" s="6">
        <v>46269</v>
      </c>
      <c r="C4" t="s">
        <v>130</v>
      </c>
      <c r="D4" t="s">
        <v>70</v>
      </c>
      <c r="E4" t="s">
        <v>22</v>
      </c>
      <c r="F4" t="s">
        <v>23</v>
      </c>
      <c r="G4" s="3">
        <v>118</v>
      </c>
      <c r="H4">
        <v>30</v>
      </c>
      <c r="I4" s="3">
        <v>3540</v>
      </c>
      <c r="J4" s="3">
        <v>3540</v>
      </c>
      <c r="K4" s="3">
        <v>0</v>
      </c>
      <c r="L4" t="s">
        <v>128</v>
      </c>
    </row>
    <row r="5" spans="1:12">
      <c r="A5" t="s">
        <v>131</v>
      </c>
      <c r="B5" s="6">
        <v>46271</v>
      </c>
      <c r="C5" t="s">
        <v>132</v>
      </c>
      <c r="D5" t="s">
        <v>76</v>
      </c>
      <c r="E5" t="s">
        <v>28</v>
      </c>
      <c r="F5" t="s">
        <v>29</v>
      </c>
      <c r="G5" s="3">
        <v>72.5</v>
      </c>
      <c r="H5">
        <v>40</v>
      </c>
      <c r="I5" s="3">
        <v>2900</v>
      </c>
      <c r="J5" s="3">
        <v>2686</v>
      </c>
      <c r="K5" s="3">
        <v>214</v>
      </c>
      <c r="L5" t="s">
        <v>125</v>
      </c>
    </row>
    <row r="6" spans="1:12">
      <c r="A6" t="s">
        <v>133</v>
      </c>
      <c r="B6" s="6">
        <v>46274</v>
      </c>
      <c r="C6" t="s">
        <v>134</v>
      </c>
      <c r="D6" t="s">
        <v>81</v>
      </c>
      <c r="E6" t="s">
        <v>35</v>
      </c>
      <c r="F6" t="s">
        <v>36</v>
      </c>
      <c r="G6" s="3">
        <v>56</v>
      </c>
      <c r="H6">
        <v>50</v>
      </c>
      <c r="I6" s="3">
        <v>2800</v>
      </c>
      <c r="J6" s="3">
        <v>2800</v>
      </c>
      <c r="K6" s="3">
        <v>0</v>
      </c>
      <c r="L6" t="s">
        <v>128</v>
      </c>
    </row>
    <row r="7" spans="1:12">
      <c r="A7" t="s">
        <v>135</v>
      </c>
      <c r="B7" s="6">
        <v>46277</v>
      </c>
      <c r="C7" t="s">
        <v>136</v>
      </c>
      <c r="D7" t="s">
        <v>87</v>
      </c>
      <c r="E7" t="s">
        <v>18</v>
      </c>
      <c r="F7" t="s">
        <v>19</v>
      </c>
      <c r="G7" s="3">
        <v>22.5</v>
      </c>
      <c r="H7">
        <v>80</v>
      </c>
      <c r="I7" s="3">
        <v>1800</v>
      </c>
      <c r="J7" s="3">
        <v>1800</v>
      </c>
      <c r="K7" s="3">
        <v>0</v>
      </c>
      <c r="L7" t="s">
        <v>128</v>
      </c>
    </row>
    <row r="8" spans="1:12">
      <c r="A8" t="s">
        <v>137</v>
      </c>
      <c r="B8" s="6">
        <v>46280</v>
      </c>
      <c r="C8" t="s">
        <v>138</v>
      </c>
      <c r="D8" t="s">
        <v>92</v>
      </c>
      <c r="E8" t="s">
        <v>15</v>
      </c>
      <c r="F8" t="s">
        <v>16</v>
      </c>
      <c r="G8" s="3">
        <v>96</v>
      </c>
      <c r="H8">
        <v>20</v>
      </c>
      <c r="I8" s="3">
        <v>1920</v>
      </c>
      <c r="J8" s="3">
        <v>1000</v>
      </c>
      <c r="K8" s="3">
        <v>920</v>
      </c>
      <c r="L8" t="s">
        <v>125</v>
      </c>
    </row>
    <row r="9" spans="1:12">
      <c r="A9" t="s">
        <v>139</v>
      </c>
      <c r="B9" s="6">
        <v>46283</v>
      </c>
      <c r="C9" t="s">
        <v>140</v>
      </c>
      <c r="D9" t="s">
        <v>97</v>
      </c>
      <c r="E9" t="s">
        <v>25</v>
      </c>
      <c r="F9" t="s">
        <v>26</v>
      </c>
      <c r="G9" s="3">
        <v>34</v>
      </c>
      <c r="H9">
        <v>60</v>
      </c>
      <c r="I9" s="3">
        <v>2040</v>
      </c>
      <c r="J9" s="3">
        <v>2040</v>
      </c>
      <c r="K9" s="3">
        <v>0</v>
      </c>
      <c r="L9" t="s">
        <v>128</v>
      </c>
    </row>
    <row r="10" spans="1:12">
      <c r="A10" t="s">
        <v>141</v>
      </c>
      <c r="B10" s="6">
        <v>46285</v>
      </c>
      <c r="C10" t="s">
        <v>142</v>
      </c>
      <c r="D10" t="s">
        <v>102</v>
      </c>
      <c r="E10" t="s">
        <v>44</v>
      </c>
      <c r="F10" t="s">
        <v>23</v>
      </c>
      <c r="G10" s="3">
        <v>52</v>
      </c>
      <c r="H10">
        <v>35</v>
      </c>
      <c r="I10" s="3">
        <v>1820</v>
      </c>
      <c r="J10" s="3">
        <v>1820</v>
      </c>
      <c r="K10" s="3">
        <v>0</v>
      </c>
      <c r="L10" t="s">
        <v>128</v>
      </c>
    </row>
    <row r="11" spans="1:12">
      <c r="A11" t="s">
        <v>143</v>
      </c>
      <c r="B11" s="6">
        <v>46287</v>
      </c>
      <c r="C11" t="s">
        <v>144</v>
      </c>
      <c r="D11" t="s">
        <v>64</v>
      </c>
      <c r="E11" t="s">
        <v>49</v>
      </c>
      <c r="F11" t="s">
        <v>50</v>
      </c>
      <c r="G11" s="3">
        <v>58</v>
      </c>
      <c r="H11">
        <v>45</v>
      </c>
      <c r="I11" s="3">
        <v>2610</v>
      </c>
      <c r="J11" s="3">
        <v>2610</v>
      </c>
      <c r="K11" s="3">
        <v>0</v>
      </c>
      <c r="L11" t="s">
        <v>128</v>
      </c>
    </row>
    <row r="12" spans="1:12">
      <c r="A12" t="s">
        <v>145</v>
      </c>
      <c r="B12" s="6">
        <v>46290</v>
      </c>
      <c r="C12" t="s">
        <v>146</v>
      </c>
      <c r="D12" t="s">
        <v>70</v>
      </c>
      <c r="E12" t="s">
        <v>38</v>
      </c>
      <c r="F12" t="s">
        <v>39</v>
      </c>
      <c r="G12" s="3">
        <v>38.4</v>
      </c>
      <c r="H12">
        <v>40</v>
      </c>
      <c r="I12" s="3">
        <v>1536</v>
      </c>
      <c r="J12" s="3">
        <v>1536</v>
      </c>
      <c r="K12" s="3">
        <v>0</v>
      </c>
      <c r="L12" t="s">
        <v>128</v>
      </c>
    </row>
    <row r="13" spans="1:12">
      <c r="A13" t="s">
        <v>147</v>
      </c>
      <c r="B13" s="6">
        <v>46292</v>
      </c>
      <c r="C13" t="s">
        <v>148</v>
      </c>
      <c r="D13" t="s">
        <v>76</v>
      </c>
      <c r="E13" t="s">
        <v>12</v>
      </c>
      <c r="F13" t="s">
        <v>13</v>
      </c>
      <c r="G13" s="3">
        <v>145</v>
      </c>
      <c r="H13">
        <v>15</v>
      </c>
      <c r="I13" s="3">
        <v>2175</v>
      </c>
      <c r="J13" s="3">
        <v>0</v>
      </c>
      <c r="K13" s="3">
        <v>2175</v>
      </c>
      <c r="L13" t="s">
        <v>149</v>
      </c>
    </row>
    <row r="14" spans="1:12">
      <c r="A14" t="s">
        <v>150</v>
      </c>
      <c r="B14" s="6">
        <v>46293</v>
      </c>
      <c r="C14" t="s">
        <v>151</v>
      </c>
      <c r="D14" t="s">
        <v>87</v>
      </c>
      <c r="E14" t="s">
        <v>55</v>
      </c>
      <c r="F14" t="s">
        <v>56</v>
      </c>
      <c r="G14" s="3">
        <v>39.5</v>
      </c>
      <c r="H14">
        <v>50</v>
      </c>
      <c r="I14" s="3">
        <v>1975</v>
      </c>
      <c r="J14" s="3">
        <v>1000</v>
      </c>
      <c r="K14" s="3">
        <v>975</v>
      </c>
      <c r="L14" t="s">
        <v>125</v>
      </c>
    </row>
    <row r="15" spans="1:12">
      <c r="A15" t="s">
        <v>152</v>
      </c>
      <c r="B15" s="6">
        <v>46295</v>
      </c>
      <c r="C15" t="s">
        <v>153</v>
      </c>
      <c r="D15" t="s">
        <v>92</v>
      </c>
      <c r="E15" t="s">
        <v>22</v>
      </c>
      <c r="F15" t="s">
        <v>23</v>
      </c>
      <c r="G15" s="3">
        <v>118</v>
      </c>
      <c r="H15">
        <v>25</v>
      </c>
      <c r="I15" s="3">
        <v>2950</v>
      </c>
      <c r="J15" s="3">
        <v>0</v>
      </c>
      <c r="K15" s="3">
        <v>2950</v>
      </c>
      <c r="L15" t="s">
        <v>149</v>
      </c>
    </row>
    <row r="16" spans="1:12">
      <c r="A16" t="s">
        <v>154</v>
      </c>
      <c r="B16" s="6">
        <v>46297</v>
      </c>
      <c r="C16" t="s">
        <v>155</v>
      </c>
      <c r="D16" t="s">
        <v>81</v>
      </c>
      <c r="E16" t="s">
        <v>18</v>
      </c>
      <c r="F16" t="s">
        <v>19</v>
      </c>
      <c r="G16" s="3">
        <v>22.5</v>
      </c>
      <c r="H16">
        <v>100</v>
      </c>
      <c r="I16" s="3">
        <v>2250</v>
      </c>
      <c r="J16" s="3">
        <v>2250</v>
      </c>
      <c r="K16" s="3">
        <v>0</v>
      </c>
      <c r="L16" t="s">
        <v>128</v>
      </c>
    </row>
    <row r="17" spans="1:12">
      <c r="A17" t="s">
        <v>156</v>
      </c>
      <c r="B17" s="6">
        <v>46299</v>
      </c>
      <c r="C17" t="s">
        <v>157</v>
      </c>
      <c r="D17" t="s">
        <v>97</v>
      </c>
      <c r="E17" t="s">
        <v>46</v>
      </c>
      <c r="F17" t="s">
        <v>23</v>
      </c>
      <c r="G17" s="3">
        <v>46.5</v>
      </c>
      <c r="H17">
        <v>30</v>
      </c>
      <c r="I17" s="3">
        <v>1395</v>
      </c>
      <c r="J17" s="3">
        <v>700</v>
      </c>
      <c r="K17" s="3">
        <v>695</v>
      </c>
      <c r="L17" t="s">
        <v>125</v>
      </c>
    </row>
    <row r="18" spans="1:12">
      <c r="G18" s="3"/>
      <c r="I18" s="3"/>
      <c r="J18" s="3"/>
      <c r="K18" s="3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0EA9-6A75-4575-AB76-FFA55C3EF01D}">
  <dimension ref="A1:G34"/>
  <sheetViews>
    <sheetView workbookViewId="0"/>
  </sheetViews>
  <sheetFormatPr defaultRowHeight="13.8"/>
  <cols>
    <col min="1" max="1" width="14.33203125" bestFit="1" customWidth="1"/>
    <col min="2" max="2" width="11.21875" bestFit="1" customWidth="1"/>
    <col min="3" max="3" width="24.109375" bestFit="1" customWidth="1"/>
    <col min="4" max="4" width="22.33203125" bestFit="1" customWidth="1"/>
    <col min="5" max="5" width="16.6640625" bestFit="1" customWidth="1"/>
    <col min="6" max="6" width="10.88671875" bestFit="1" customWidth="1"/>
    <col min="7" max="7" width="37.5546875" bestFit="1" customWidth="1"/>
  </cols>
  <sheetData>
    <row r="1" spans="1:7">
      <c r="A1" s="2" t="s">
        <v>158</v>
      </c>
      <c r="B1" s="2" t="s">
        <v>113</v>
      </c>
      <c r="C1" s="2" t="s">
        <v>159</v>
      </c>
      <c r="D1" s="2" t="s">
        <v>120</v>
      </c>
      <c r="E1" s="2" t="s">
        <v>160</v>
      </c>
      <c r="F1" s="2" t="s">
        <v>161</v>
      </c>
      <c r="G1" s="2" t="s">
        <v>162</v>
      </c>
    </row>
    <row r="2" spans="1:7">
      <c r="A2" t="s">
        <v>163</v>
      </c>
      <c r="B2" s="6">
        <v>46302</v>
      </c>
      <c r="C2" t="s">
        <v>107</v>
      </c>
      <c r="D2" s="3">
        <v>36</v>
      </c>
      <c r="E2" t="s">
        <v>164</v>
      </c>
      <c r="F2" t="s">
        <v>165</v>
      </c>
      <c r="G2" t="s">
        <v>166</v>
      </c>
    </row>
    <row r="3" spans="1:7">
      <c r="A3" t="s">
        <v>167</v>
      </c>
      <c r="B3" s="6">
        <v>46302</v>
      </c>
      <c r="C3" t="s">
        <v>76</v>
      </c>
      <c r="D3" s="3">
        <v>263</v>
      </c>
      <c r="E3" t="s">
        <v>168</v>
      </c>
      <c r="G3" t="s">
        <v>169</v>
      </c>
    </row>
    <row r="4" spans="1:7">
      <c r="A4" t="s">
        <v>170</v>
      </c>
      <c r="B4" s="6">
        <v>46302</v>
      </c>
      <c r="C4" t="s">
        <v>76</v>
      </c>
      <c r="D4" s="3">
        <v>26</v>
      </c>
      <c r="E4" t="s">
        <v>168</v>
      </c>
      <c r="G4" t="s">
        <v>171</v>
      </c>
    </row>
    <row r="5" spans="1:7">
      <c r="A5" t="s">
        <v>172</v>
      </c>
      <c r="B5" s="6">
        <v>46302</v>
      </c>
      <c r="C5" t="s">
        <v>76</v>
      </c>
      <c r="D5" s="3">
        <v>27</v>
      </c>
      <c r="E5" t="s">
        <v>168</v>
      </c>
      <c r="G5" t="s">
        <v>171</v>
      </c>
    </row>
    <row r="6" spans="1:7">
      <c r="A6" t="s">
        <v>173</v>
      </c>
      <c r="B6" s="6">
        <v>46302</v>
      </c>
      <c r="C6" t="s">
        <v>76</v>
      </c>
      <c r="D6" s="3">
        <v>27</v>
      </c>
      <c r="E6" t="s">
        <v>168</v>
      </c>
      <c r="G6" t="s">
        <v>171</v>
      </c>
    </row>
    <row r="7" spans="1:7">
      <c r="A7" t="s">
        <v>174</v>
      </c>
      <c r="B7" s="6">
        <v>46302</v>
      </c>
      <c r="C7" t="s">
        <v>76</v>
      </c>
      <c r="D7" s="3">
        <v>27</v>
      </c>
      <c r="E7" t="s">
        <v>168</v>
      </c>
      <c r="G7" t="s">
        <v>171</v>
      </c>
    </row>
    <row r="8" spans="1:7">
      <c r="A8" t="s">
        <v>175</v>
      </c>
      <c r="B8" s="6">
        <v>46302</v>
      </c>
      <c r="C8" t="s">
        <v>76</v>
      </c>
      <c r="D8" s="3">
        <v>27</v>
      </c>
      <c r="E8" t="s">
        <v>168</v>
      </c>
      <c r="G8" t="s">
        <v>171</v>
      </c>
    </row>
    <row r="9" spans="1:7">
      <c r="A9" t="s">
        <v>176</v>
      </c>
      <c r="B9" s="6">
        <v>46302</v>
      </c>
      <c r="C9" t="s">
        <v>76</v>
      </c>
      <c r="D9" s="3">
        <v>28</v>
      </c>
      <c r="E9" t="s">
        <v>168</v>
      </c>
      <c r="G9" t="s">
        <v>171</v>
      </c>
    </row>
    <row r="10" spans="1:7">
      <c r="A10" t="s">
        <v>177</v>
      </c>
      <c r="B10" s="6">
        <v>46302</v>
      </c>
      <c r="C10" t="s">
        <v>76</v>
      </c>
      <c r="D10" s="3">
        <v>28</v>
      </c>
      <c r="E10" t="s">
        <v>168</v>
      </c>
      <c r="G10" t="s">
        <v>171</v>
      </c>
    </row>
    <row r="11" spans="1:7">
      <c r="A11" t="s">
        <v>178</v>
      </c>
      <c r="B11" s="6">
        <v>46302</v>
      </c>
      <c r="C11" t="s">
        <v>76</v>
      </c>
      <c r="D11" s="3">
        <v>28</v>
      </c>
      <c r="E11" t="s">
        <v>168</v>
      </c>
      <c r="G11" t="s">
        <v>171</v>
      </c>
    </row>
    <row r="12" spans="1:7">
      <c r="A12" t="s">
        <v>179</v>
      </c>
      <c r="B12" s="6">
        <v>46302</v>
      </c>
      <c r="C12" t="s">
        <v>76</v>
      </c>
      <c r="D12" s="3">
        <v>28</v>
      </c>
      <c r="E12" t="s">
        <v>168</v>
      </c>
      <c r="G12" t="s">
        <v>171</v>
      </c>
    </row>
    <row r="13" spans="1:7">
      <c r="A13" t="s">
        <v>180</v>
      </c>
      <c r="B13" s="6">
        <v>46302</v>
      </c>
      <c r="C13" t="s">
        <v>76</v>
      </c>
      <c r="D13" s="3">
        <v>29</v>
      </c>
      <c r="E13" t="s">
        <v>168</v>
      </c>
      <c r="G13" t="s">
        <v>171</v>
      </c>
    </row>
    <row r="14" spans="1:7">
      <c r="A14" t="s">
        <v>181</v>
      </c>
      <c r="B14" s="6">
        <v>46302</v>
      </c>
      <c r="C14" t="s">
        <v>76</v>
      </c>
      <c r="D14" s="3">
        <v>29</v>
      </c>
      <c r="E14" t="s">
        <v>168</v>
      </c>
      <c r="G14" t="s">
        <v>171</v>
      </c>
    </row>
    <row r="15" spans="1:7">
      <c r="A15" t="s">
        <v>182</v>
      </c>
      <c r="B15" s="6">
        <v>46302</v>
      </c>
      <c r="C15" t="s">
        <v>76</v>
      </c>
      <c r="D15" s="3">
        <v>29</v>
      </c>
      <c r="E15" t="s">
        <v>168</v>
      </c>
      <c r="G15" t="s">
        <v>171</v>
      </c>
    </row>
    <row r="16" spans="1:7">
      <c r="A16" t="s">
        <v>183</v>
      </c>
      <c r="B16" s="6">
        <v>46302</v>
      </c>
      <c r="C16" t="s">
        <v>76</v>
      </c>
      <c r="D16" s="3">
        <v>30</v>
      </c>
      <c r="E16" t="s">
        <v>168</v>
      </c>
      <c r="G16" t="s">
        <v>171</v>
      </c>
    </row>
    <row r="17" spans="1:7">
      <c r="A17" t="s">
        <v>184</v>
      </c>
      <c r="B17" s="6">
        <v>46302</v>
      </c>
      <c r="C17" t="s">
        <v>76</v>
      </c>
      <c r="D17" s="3">
        <v>30</v>
      </c>
      <c r="E17" t="s">
        <v>168</v>
      </c>
      <c r="G17" t="s">
        <v>171</v>
      </c>
    </row>
    <row r="18" spans="1:7">
      <c r="A18" t="s">
        <v>185</v>
      </c>
      <c r="B18" s="6">
        <v>46302</v>
      </c>
      <c r="C18" t="s">
        <v>76</v>
      </c>
      <c r="D18" s="3">
        <v>30</v>
      </c>
      <c r="E18" t="s">
        <v>168</v>
      </c>
      <c r="G18" t="s">
        <v>171</v>
      </c>
    </row>
    <row r="19" spans="1:7">
      <c r="A19" t="s">
        <v>186</v>
      </c>
      <c r="B19" s="6">
        <v>46302</v>
      </c>
      <c r="C19" t="s">
        <v>64</v>
      </c>
      <c r="D19" s="3">
        <v>910</v>
      </c>
      <c r="E19" t="s">
        <v>164</v>
      </c>
      <c r="G19" t="s">
        <v>169</v>
      </c>
    </row>
    <row r="20" spans="1:7">
      <c r="A20" t="s">
        <v>187</v>
      </c>
      <c r="B20" s="6">
        <v>46302</v>
      </c>
      <c r="C20" t="s">
        <v>64</v>
      </c>
      <c r="D20" s="3">
        <v>200</v>
      </c>
      <c r="E20" t="s">
        <v>164</v>
      </c>
      <c r="G20" t="s">
        <v>169</v>
      </c>
    </row>
    <row r="21" spans="1:7">
      <c r="A21" t="s">
        <v>188</v>
      </c>
      <c r="B21" s="6">
        <v>46267</v>
      </c>
      <c r="C21" t="s">
        <v>64</v>
      </c>
      <c r="D21" s="3">
        <v>3625</v>
      </c>
      <c r="E21" t="s">
        <v>168</v>
      </c>
      <c r="F21" t="s">
        <v>127</v>
      </c>
      <c r="G21" t="s">
        <v>189</v>
      </c>
    </row>
    <row r="22" spans="1:7">
      <c r="A22" t="s">
        <v>190</v>
      </c>
      <c r="B22" s="6">
        <v>46269</v>
      </c>
      <c r="C22" t="s">
        <v>70</v>
      </c>
      <c r="D22" s="3">
        <v>3540</v>
      </c>
      <c r="E22" t="s">
        <v>168</v>
      </c>
      <c r="F22" t="s">
        <v>130</v>
      </c>
      <c r="G22" t="s">
        <v>191</v>
      </c>
    </row>
    <row r="23" spans="1:7">
      <c r="A23" t="s">
        <v>192</v>
      </c>
      <c r="B23" s="6">
        <v>46271</v>
      </c>
      <c r="C23" t="s">
        <v>76</v>
      </c>
      <c r="D23" s="3">
        <v>2000</v>
      </c>
      <c r="E23" t="s">
        <v>193</v>
      </c>
      <c r="F23" t="s">
        <v>132</v>
      </c>
      <c r="G23" t="s">
        <v>194</v>
      </c>
    </row>
    <row r="24" spans="1:7">
      <c r="A24" t="s">
        <v>195</v>
      </c>
      <c r="B24" s="6">
        <v>46274</v>
      </c>
      <c r="C24" t="s">
        <v>81</v>
      </c>
      <c r="D24" s="3">
        <v>2800</v>
      </c>
      <c r="E24" t="s">
        <v>85</v>
      </c>
      <c r="F24" t="s">
        <v>134</v>
      </c>
      <c r="G24" t="s">
        <v>196</v>
      </c>
    </row>
    <row r="25" spans="1:7">
      <c r="A25" t="s">
        <v>197</v>
      </c>
      <c r="B25" s="6">
        <v>46277</v>
      </c>
      <c r="C25" t="s">
        <v>87</v>
      </c>
      <c r="D25" s="3">
        <v>1800</v>
      </c>
      <c r="E25" t="s">
        <v>168</v>
      </c>
      <c r="F25" t="s">
        <v>136</v>
      </c>
      <c r="G25" t="s">
        <v>198</v>
      </c>
    </row>
    <row r="26" spans="1:7">
      <c r="A26" t="s">
        <v>199</v>
      </c>
      <c r="B26" s="6">
        <v>46280</v>
      </c>
      <c r="C26" t="s">
        <v>92</v>
      </c>
      <c r="D26" s="3">
        <v>1000</v>
      </c>
      <c r="E26" t="s">
        <v>168</v>
      </c>
      <c r="F26" t="s">
        <v>138</v>
      </c>
      <c r="G26" t="s">
        <v>200</v>
      </c>
    </row>
    <row r="27" spans="1:7">
      <c r="A27" t="s">
        <v>201</v>
      </c>
      <c r="B27" s="6">
        <v>46283</v>
      </c>
      <c r="C27" t="s">
        <v>97</v>
      </c>
      <c r="D27" s="3">
        <v>2040</v>
      </c>
      <c r="E27" t="s">
        <v>168</v>
      </c>
      <c r="F27" t="s">
        <v>140</v>
      </c>
      <c r="G27" t="s">
        <v>202</v>
      </c>
    </row>
    <row r="28" spans="1:7">
      <c r="A28" t="s">
        <v>203</v>
      </c>
      <c r="B28" s="6">
        <v>46285</v>
      </c>
      <c r="C28" t="s">
        <v>102</v>
      </c>
      <c r="D28" s="3">
        <v>1820</v>
      </c>
      <c r="E28" t="s">
        <v>85</v>
      </c>
      <c r="F28" t="s">
        <v>142</v>
      </c>
      <c r="G28" t="s">
        <v>204</v>
      </c>
    </row>
    <row r="29" spans="1:7">
      <c r="A29" t="s">
        <v>205</v>
      </c>
      <c r="B29" s="6">
        <v>46287</v>
      </c>
      <c r="C29" t="s">
        <v>64</v>
      </c>
      <c r="D29" s="3">
        <v>1500</v>
      </c>
      <c r="E29" t="s">
        <v>206</v>
      </c>
      <c r="F29" t="s">
        <v>144</v>
      </c>
      <c r="G29" t="s">
        <v>207</v>
      </c>
    </row>
    <row r="30" spans="1:7">
      <c r="A30" t="s">
        <v>208</v>
      </c>
      <c r="B30" s="6">
        <v>46290</v>
      </c>
      <c r="C30" t="s">
        <v>70</v>
      </c>
      <c r="D30" s="3">
        <v>1536</v>
      </c>
      <c r="E30" t="s">
        <v>168</v>
      </c>
      <c r="F30" t="s">
        <v>146</v>
      </c>
      <c r="G30" t="s">
        <v>202</v>
      </c>
    </row>
    <row r="31" spans="1:7">
      <c r="A31" t="s">
        <v>209</v>
      </c>
      <c r="B31" s="6">
        <v>46293</v>
      </c>
      <c r="C31" t="s">
        <v>87</v>
      </c>
      <c r="D31" s="3">
        <v>1000</v>
      </c>
      <c r="E31" t="s">
        <v>164</v>
      </c>
      <c r="F31" t="s">
        <v>151</v>
      </c>
      <c r="G31" t="s">
        <v>210</v>
      </c>
    </row>
    <row r="32" spans="1:7">
      <c r="A32" t="s">
        <v>211</v>
      </c>
      <c r="B32" s="6">
        <v>46297</v>
      </c>
      <c r="C32" t="s">
        <v>81</v>
      </c>
      <c r="D32" s="3">
        <v>2250</v>
      </c>
      <c r="E32" t="s">
        <v>85</v>
      </c>
      <c r="F32" t="s">
        <v>155</v>
      </c>
      <c r="G32" t="s">
        <v>196</v>
      </c>
    </row>
    <row r="33" spans="1:7">
      <c r="A33" t="s">
        <v>212</v>
      </c>
      <c r="B33" s="6">
        <v>46299</v>
      </c>
      <c r="C33" t="s">
        <v>97</v>
      </c>
      <c r="D33" s="3">
        <v>700</v>
      </c>
      <c r="E33" t="s">
        <v>168</v>
      </c>
      <c r="F33" t="s">
        <v>157</v>
      </c>
      <c r="G33" t="s">
        <v>213</v>
      </c>
    </row>
    <row r="34" spans="1:7">
      <c r="D3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F8414-1717-4C2C-BC32-418F12810A6F}">
  <dimension ref="A1:G4"/>
  <sheetViews>
    <sheetView workbookViewId="0"/>
  </sheetViews>
  <sheetFormatPr defaultRowHeight="13.8"/>
  <cols>
    <col min="1" max="1" width="12.109375" bestFit="1" customWidth="1"/>
    <col min="2" max="2" width="27.77734375" bestFit="1" customWidth="1"/>
    <col min="3" max="3" width="16.5546875" bestFit="1" customWidth="1"/>
    <col min="4" max="4" width="17.21875" bestFit="1" customWidth="1"/>
    <col min="5" max="5" width="27.44140625" bestFit="1" customWidth="1"/>
    <col min="6" max="6" width="16.6640625" bestFit="1" customWidth="1"/>
    <col min="7" max="7" width="39.44140625" bestFit="1" customWidth="1"/>
  </cols>
  <sheetData>
    <row r="1" spans="1:7">
      <c r="A1" s="7" t="s">
        <v>214</v>
      </c>
      <c r="B1" s="7" t="s">
        <v>215</v>
      </c>
      <c r="C1" s="7" t="s">
        <v>59</v>
      </c>
      <c r="D1" s="7" t="s">
        <v>60</v>
      </c>
      <c r="E1" s="7" t="s">
        <v>61</v>
      </c>
      <c r="F1" s="7" t="s">
        <v>62</v>
      </c>
      <c r="G1" s="7" t="s">
        <v>162</v>
      </c>
    </row>
    <row r="2" spans="1:7">
      <c r="A2" t="s">
        <v>216</v>
      </c>
      <c r="B2" t="s">
        <v>217</v>
      </c>
      <c r="C2" t="s">
        <v>218</v>
      </c>
      <c r="D2" t="s">
        <v>219</v>
      </c>
      <c r="E2" t="s">
        <v>220</v>
      </c>
      <c r="F2" t="s">
        <v>68</v>
      </c>
      <c r="G2" t="s">
        <v>221</v>
      </c>
    </row>
    <row r="3" spans="1:7">
      <c r="A3" t="s">
        <v>222</v>
      </c>
      <c r="B3" t="s">
        <v>223</v>
      </c>
      <c r="C3" t="s">
        <v>224</v>
      </c>
      <c r="D3" t="s">
        <v>225</v>
      </c>
      <c r="E3" t="s">
        <v>226</v>
      </c>
      <c r="F3" t="s">
        <v>74</v>
      </c>
      <c r="G3" t="s">
        <v>227</v>
      </c>
    </row>
    <row r="4" spans="1:7">
      <c r="A4" t="s">
        <v>228</v>
      </c>
      <c r="B4" t="s">
        <v>229</v>
      </c>
      <c r="C4" t="s">
        <v>230</v>
      </c>
      <c r="D4" t="s">
        <v>231</v>
      </c>
      <c r="E4" t="s">
        <v>232</v>
      </c>
      <c r="F4" t="s">
        <v>85</v>
      </c>
      <c r="G4" t="s">
        <v>233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AA743-0A98-4854-965D-E9B82EFD204D}">
  <dimension ref="A1:K5"/>
  <sheetViews>
    <sheetView workbookViewId="0"/>
  </sheetViews>
  <sheetFormatPr defaultRowHeight="13.8"/>
  <cols>
    <col min="1" max="1" width="14.44140625" bestFit="1" customWidth="1"/>
    <col min="2" max="2" width="11.21875" bestFit="1" customWidth="1"/>
    <col min="3" max="3" width="27.77734375" bestFit="1" customWidth="1"/>
    <col min="4" max="4" width="35.44140625" bestFit="1" customWidth="1"/>
    <col min="5" max="5" width="9.6640625" bestFit="1" customWidth="1"/>
    <col min="6" max="6" width="18.5546875" bestFit="1" customWidth="1"/>
    <col min="7" max="7" width="18.88671875" bestFit="1" customWidth="1"/>
    <col min="8" max="8" width="22.33203125" bestFit="1" customWidth="1"/>
    <col min="9" max="9" width="23.21875" bestFit="1" customWidth="1"/>
    <col min="10" max="10" width="15.33203125" bestFit="1" customWidth="1"/>
    <col min="11" max="11" width="42.6640625" bestFit="1" customWidth="1"/>
  </cols>
  <sheetData>
    <row r="1" spans="1:11">
      <c r="A1" s="4" t="s">
        <v>234</v>
      </c>
      <c r="B1" s="4" t="s">
        <v>113</v>
      </c>
      <c r="C1" s="4" t="s">
        <v>235</v>
      </c>
      <c r="D1" s="4" t="s">
        <v>2</v>
      </c>
      <c r="E1" s="4" t="s">
        <v>236</v>
      </c>
      <c r="F1" s="4" t="s">
        <v>237</v>
      </c>
      <c r="G1" s="4" t="s">
        <v>119</v>
      </c>
      <c r="H1" s="4" t="s">
        <v>120</v>
      </c>
      <c r="I1" s="4" t="s">
        <v>238</v>
      </c>
      <c r="J1" s="4" t="s">
        <v>122</v>
      </c>
      <c r="K1" s="4" t="s">
        <v>162</v>
      </c>
    </row>
    <row r="2" spans="1:11">
      <c r="A2" t="s">
        <v>239</v>
      </c>
      <c r="B2" s="6">
        <v>46291</v>
      </c>
      <c r="C2" t="s">
        <v>217</v>
      </c>
      <c r="D2" t="s">
        <v>28</v>
      </c>
      <c r="E2">
        <v>100</v>
      </c>
      <c r="F2" s="3">
        <v>50</v>
      </c>
      <c r="G2" s="3">
        <v>5000</v>
      </c>
      <c r="H2" s="3">
        <v>3000</v>
      </c>
      <c r="I2" s="3">
        <v>2000</v>
      </c>
      <c r="J2" t="s">
        <v>125</v>
      </c>
      <c r="K2" t="s">
        <v>240</v>
      </c>
    </row>
    <row r="3" spans="1:11">
      <c r="A3" t="s">
        <v>241</v>
      </c>
      <c r="B3" s="6">
        <v>46296</v>
      </c>
      <c r="C3" t="s">
        <v>223</v>
      </c>
      <c r="D3" t="s">
        <v>12</v>
      </c>
      <c r="E3">
        <v>50</v>
      </c>
      <c r="F3" s="3">
        <v>110</v>
      </c>
      <c r="G3" s="3">
        <v>5500</v>
      </c>
      <c r="H3" s="3">
        <v>5500</v>
      </c>
      <c r="I3" s="3">
        <v>0</v>
      </c>
      <c r="J3" t="s">
        <v>128</v>
      </c>
      <c r="K3" t="s">
        <v>242</v>
      </c>
    </row>
    <row r="4" spans="1:11">
      <c r="A4" t="s">
        <v>243</v>
      </c>
      <c r="B4" s="6">
        <v>46299</v>
      </c>
      <c r="C4" t="s">
        <v>229</v>
      </c>
      <c r="D4" t="s">
        <v>35</v>
      </c>
      <c r="E4">
        <v>40</v>
      </c>
      <c r="F4" s="3">
        <v>42</v>
      </c>
      <c r="G4" s="3">
        <v>1680</v>
      </c>
      <c r="H4" s="3">
        <v>1000</v>
      </c>
      <c r="I4" s="3">
        <v>680</v>
      </c>
      <c r="J4" t="s">
        <v>125</v>
      </c>
      <c r="K4" t="s">
        <v>244</v>
      </c>
    </row>
    <row r="5" spans="1:11">
      <c r="F5" s="3"/>
      <c r="G5" s="3"/>
      <c r="H5" s="3"/>
      <c r="I5" s="3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2281-3F6E-4DDB-A589-DAF3EB165807}">
  <dimension ref="A1:G5"/>
  <sheetViews>
    <sheetView workbookViewId="0"/>
  </sheetViews>
  <sheetFormatPr defaultRowHeight="13.8"/>
  <cols>
    <col min="1" max="1" width="15.44140625" bestFit="1" customWidth="1"/>
    <col min="2" max="2" width="11.21875" bestFit="1" customWidth="1"/>
    <col min="3" max="3" width="27.77734375" bestFit="1" customWidth="1"/>
    <col min="4" max="4" width="22.33203125" bestFit="1" customWidth="1"/>
    <col min="5" max="5" width="14.21875" bestFit="1" customWidth="1"/>
    <col min="6" max="6" width="11.77734375" bestFit="1" customWidth="1"/>
    <col min="7" max="7" width="44.6640625" bestFit="1" customWidth="1"/>
  </cols>
  <sheetData>
    <row r="1" spans="1:7">
      <c r="A1" s="2" t="s">
        <v>158</v>
      </c>
      <c r="B1" s="2" t="s">
        <v>113</v>
      </c>
      <c r="C1" s="2" t="s">
        <v>235</v>
      </c>
      <c r="D1" s="2" t="s">
        <v>120</v>
      </c>
      <c r="E1" s="2" t="s">
        <v>160</v>
      </c>
      <c r="F1" s="2" t="s">
        <v>161</v>
      </c>
      <c r="G1" s="2" t="s">
        <v>162</v>
      </c>
    </row>
    <row r="2" spans="1:7">
      <c r="A2" t="s">
        <v>245</v>
      </c>
      <c r="B2" s="6">
        <v>46293</v>
      </c>
      <c r="C2" t="s">
        <v>217</v>
      </c>
      <c r="D2" s="3">
        <v>3000</v>
      </c>
      <c r="E2" t="s">
        <v>168</v>
      </c>
      <c r="F2" t="s">
        <v>246</v>
      </c>
      <c r="G2" t="s">
        <v>247</v>
      </c>
    </row>
    <row r="3" spans="1:7">
      <c r="A3" t="s">
        <v>248</v>
      </c>
      <c r="B3" s="6">
        <v>46296</v>
      </c>
      <c r="C3" t="s">
        <v>223</v>
      </c>
      <c r="D3" s="3">
        <v>5500</v>
      </c>
      <c r="E3" t="s">
        <v>168</v>
      </c>
      <c r="F3" t="s">
        <v>249</v>
      </c>
      <c r="G3" t="s">
        <v>250</v>
      </c>
    </row>
    <row r="4" spans="1:7">
      <c r="A4" t="s">
        <v>251</v>
      </c>
      <c r="B4" s="6">
        <v>46299</v>
      </c>
      <c r="C4" t="s">
        <v>229</v>
      </c>
      <c r="D4" s="3">
        <v>1000</v>
      </c>
      <c r="E4" t="s">
        <v>164</v>
      </c>
      <c r="F4" t="s">
        <v>252</v>
      </c>
      <c r="G4" t="s">
        <v>253</v>
      </c>
    </row>
    <row r="5" spans="1:7">
      <c r="D5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4A59-50DF-4D38-9310-929BA63726FF}">
  <dimension ref="A1:F10"/>
  <sheetViews>
    <sheetView workbookViewId="0"/>
  </sheetViews>
  <sheetFormatPr defaultRowHeight="13.8"/>
  <cols>
    <col min="1" max="1" width="10.109375" bestFit="1" customWidth="1"/>
    <col min="2" max="2" width="24.109375" bestFit="1" customWidth="1"/>
    <col min="3" max="3" width="16.33203125" bestFit="1" customWidth="1"/>
    <col min="4" max="4" width="17.77734375" bestFit="1" customWidth="1"/>
    <col min="5" max="5" width="24.21875" bestFit="1" customWidth="1"/>
    <col min="6" max="6" width="17.44140625" bestFit="1" customWidth="1"/>
  </cols>
  <sheetData>
    <row r="1" spans="1:6">
      <c r="A1" s="4" t="s">
        <v>57</v>
      </c>
      <c r="B1" s="4" t="s">
        <v>58</v>
      </c>
      <c r="C1" s="4" t="s">
        <v>59</v>
      </c>
      <c r="D1" s="4" t="s">
        <v>60</v>
      </c>
      <c r="E1" s="4" t="s">
        <v>61</v>
      </c>
      <c r="F1" s="4" t="s">
        <v>62</v>
      </c>
    </row>
    <row r="2" spans="1:6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</row>
    <row r="3" spans="1:6">
      <c r="A3" t="s">
        <v>69</v>
      </c>
      <c r="B3" t="s">
        <v>70</v>
      </c>
      <c r="C3" t="s">
        <v>71</v>
      </c>
      <c r="D3" t="s">
        <v>72</v>
      </c>
      <c r="E3" t="s">
        <v>73</v>
      </c>
      <c r="F3" t="s">
        <v>74</v>
      </c>
    </row>
    <row r="4" spans="1:6">
      <c r="A4" t="s">
        <v>75</v>
      </c>
      <c r="B4" t="s">
        <v>76</v>
      </c>
      <c r="C4" t="s">
        <v>77</v>
      </c>
      <c r="D4" t="s">
        <v>78</v>
      </c>
      <c r="E4" t="s">
        <v>79</v>
      </c>
      <c r="F4" t="s">
        <v>68</v>
      </c>
    </row>
    <row r="5" spans="1:6">
      <c r="A5" t="s">
        <v>80</v>
      </c>
      <c r="B5" t="s">
        <v>81</v>
      </c>
      <c r="C5" t="s">
        <v>82</v>
      </c>
      <c r="D5" t="s">
        <v>83</v>
      </c>
      <c r="E5" t="s">
        <v>84</v>
      </c>
      <c r="F5" t="s">
        <v>85</v>
      </c>
    </row>
    <row r="6" spans="1:6">
      <c r="A6" t="s">
        <v>86</v>
      </c>
      <c r="B6" t="s">
        <v>87</v>
      </c>
      <c r="C6" t="s">
        <v>88</v>
      </c>
      <c r="D6" t="s">
        <v>89</v>
      </c>
      <c r="E6" t="s">
        <v>90</v>
      </c>
      <c r="F6" t="s">
        <v>74</v>
      </c>
    </row>
    <row r="7" spans="1:6">
      <c r="A7" t="s">
        <v>91</v>
      </c>
      <c r="B7" t="s">
        <v>92</v>
      </c>
      <c r="C7" t="s">
        <v>93</v>
      </c>
      <c r="D7" t="s">
        <v>94</v>
      </c>
      <c r="E7" t="s">
        <v>95</v>
      </c>
      <c r="F7" t="s">
        <v>68</v>
      </c>
    </row>
    <row r="8" spans="1:6">
      <c r="A8" t="s">
        <v>96</v>
      </c>
      <c r="B8" t="s">
        <v>97</v>
      </c>
      <c r="C8" t="s">
        <v>98</v>
      </c>
      <c r="D8" t="s">
        <v>99</v>
      </c>
      <c r="E8" t="s">
        <v>100</v>
      </c>
      <c r="F8" t="s">
        <v>74</v>
      </c>
    </row>
    <row r="9" spans="1:6">
      <c r="A9" t="s">
        <v>101</v>
      </c>
      <c r="B9" t="s">
        <v>102</v>
      </c>
      <c r="C9" t="s">
        <v>103</v>
      </c>
      <c r="D9" t="s">
        <v>104</v>
      </c>
      <c r="E9" t="s">
        <v>105</v>
      </c>
      <c r="F9" t="s">
        <v>85</v>
      </c>
    </row>
    <row r="10" spans="1:6">
      <c r="A10" t="s">
        <v>106</v>
      </c>
      <c r="B10" t="s">
        <v>107</v>
      </c>
      <c r="C10" t="s">
        <v>108</v>
      </c>
      <c r="D10" t="s">
        <v>109</v>
      </c>
      <c r="E10" t="s">
        <v>110</v>
      </c>
      <c r="F10" t="s">
        <v>111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D83E-1A33-4097-B9B3-71AC6F5DDB6A}">
  <dimension ref="A1:F18"/>
  <sheetViews>
    <sheetView workbookViewId="0"/>
  </sheetViews>
  <sheetFormatPr defaultRowHeight="13.8"/>
  <cols>
    <col min="1" max="1" width="10" bestFit="1" customWidth="1"/>
    <col min="2" max="2" width="16.21875" bestFit="1" customWidth="1"/>
    <col min="3" max="3" width="37.6640625" bestFit="1" customWidth="1"/>
    <col min="4" max="4" width="17.109375" bestFit="1" customWidth="1"/>
    <col min="5" max="5" width="25" bestFit="1" customWidth="1"/>
    <col min="6" max="6" width="14.6640625" bestFit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s="3">
        <v>444</v>
      </c>
      <c r="F2">
        <v>50</v>
      </c>
    </row>
    <row r="3" spans="1:6">
      <c r="A3" t="s">
        <v>10</v>
      </c>
      <c r="B3" t="s">
        <v>11</v>
      </c>
      <c r="C3" t="s">
        <v>12</v>
      </c>
      <c r="D3" t="s">
        <v>13</v>
      </c>
      <c r="E3" s="3">
        <v>145</v>
      </c>
      <c r="F3">
        <v>135</v>
      </c>
    </row>
    <row r="4" spans="1:6">
      <c r="A4" t="s">
        <v>14</v>
      </c>
      <c r="B4" t="s">
        <v>11</v>
      </c>
      <c r="C4" t="s">
        <v>15</v>
      </c>
      <c r="D4" t="s">
        <v>16</v>
      </c>
      <c r="E4" s="3">
        <v>96</v>
      </c>
      <c r="F4">
        <v>14</v>
      </c>
    </row>
    <row r="5" spans="1:6">
      <c r="A5" t="s">
        <v>17</v>
      </c>
      <c r="B5" t="s">
        <v>11</v>
      </c>
      <c r="C5" t="s">
        <v>18</v>
      </c>
      <c r="D5" t="s">
        <v>19</v>
      </c>
      <c r="E5" s="3">
        <v>22.5</v>
      </c>
      <c r="F5">
        <v>240</v>
      </c>
    </row>
    <row r="6" spans="1:6">
      <c r="A6" t="s">
        <v>20</v>
      </c>
      <c r="B6" t="s">
        <v>21</v>
      </c>
      <c r="C6" t="s">
        <v>22</v>
      </c>
      <c r="D6" t="s">
        <v>23</v>
      </c>
      <c r="E6" s="3">
        <v>118</v>
      </c>
      <c r="F6">
        <v>60</v>
      </c>
    </row>
    <row r="7" spans="1:6">
      <c r="A7" t="s">
        <v>24</v>
      </c>
      <c r="B7" t="s">
        <v>21</v>
      </c>
      <c r="C7" t="s">
        <v>25</v>
      </c>
      <c r="D7" t="s">
        <v>26</v>
      </c>
      <c r="E7" s="3">
        <v>34</v>
      </c>
      <c r="F7">
        <v>110</v>
      </c>
    </row>
    <row r="8" spans="1:6">
      <c r="A8" t="s">
        <v>27</v>
      </c>
      <c r="B8" t="s">
        <v>21</v>
      </c>
      <c r="C8" t="s">
        <v>28</v>
      </c>
      <c r="D8" t="s">
        <v>29</v>
      </c>
      <c r="E8" s="3">
        <v>72.5</v>
      </c>
      <c r="F8">
        <v>45</v>
      </c>
    </row>
    <row r="9" spans="1:6">
      <c r="A9" t="s">
        <v>30</v>
      </c>
      <c r="B9" t="s">
        <v>21</v>
      </c>
      <c r="C9" t="s">
        <v>31</v>
      </c>
      <c r="D9" t="s">
        <v>32</v>
      </c>
      <c r="E9" s="3">
        <v>48</v>
      </c>
      <c r="F9">
        <v>9</v>
      </c>
    </row>
    <row r="10" spans="1:6">
      <c r="A10" t="s">
        <v>33</v>
      </c>
      <c r="B10" t="s">
        <v>34</v>
      </c>
      <c r="C10" t="s">
        <v>35</v>
      </c>
      <c r="D10" t="s">
        <v>36</v>
      </c>
      <c r="E10" s="3">
        <v>56</v>
      </c>
      <c r="F10">
        <v>75</v>
      </c>
    </row>
    <row r="11" spans="1:6">
      <c r="A11" t="s">
        <v>37</v>
      </c>
      <c r="B11" t="s">
        <v>34</v>
      </c>
      <c r="C11" t="s">
        <v>38</v>
      </c>
      <c r="D11" t="s">
        <v>39</v>
      </c>
      <c r="E11" s="3">
        <v>38.4</v>
      </c>
      <c r="F11">
        <v>130</v>
      </c>
    </row>
    <row r="12" spans="1:6">
      <c r="A12" t="s">
        <v>40</v>
      </c>
      <c r="B12" t="s">
        <v>34</v>
      </c>
      <c r="C12" t="s">
        <v>41</v>
      </c>
      <c r="D12" t="s">
        <v>23</v>
      </c>
      <c r="E12" s="3">
        <v>42</v>
      </c>
      <c r="F12">
        <v>5</v>
      </c>
    </row>
    <row r="13" spans="1:6">
      <c r="A13" t="s">
        <v>42</v>
      </c>
      <c r="B13" t="s">
        <v>43</v>
      </c>
      <c r="C13" t="s">
        <v>44</v>
      </c>
      <c r="D13" t="s">
        <v>23</v>
      </c>
      <c r="E13" s="3">
        <v>52</v>
      </c>
      <c r="F13">
        <v>95</v>
      </c>
    </row>
    <row r="14" spans="1:6">
      <c r="A14" t="s">
        <v>45</v>
      </c>
      <c r="B14" t="s">
        <v>43</v>
      </c>
      <c r="C14" t="s">
        <v>46</v>
      </c>
      <c r="D14" t="s">
        <v>23</v>
      </c>
      <c r="E14" s="3">
        <v>46.5</v>
      </c>
      <c r="F14">
        <v>0</v>
      </c>
    </row>
    <row r="15" spans="1:6">
      <c r="A15" t="s">
        <v>47</v>
      </c>
      <c r="B15" t="s">
        <v>48</v>
      </c>
      <c r="C15" t="s">
        <v>49</v>
      </c>
      <c r="D15" t="s">
        <v>50</v>
      </c>
      <c r="E15" s="3">
        <v>58</v>
      </c>
      <c r="F15">
        <v>120</v>
      </c>
    </row>
    <row r="16" spans="1:6">
      <c r="A16" t="s">
        <v>51</v>
      </c>
      <c r="B16" t="s">
        <v>48</v>
      </c>
      <c r="C16" t="s">
        <v>52</v>
      </c>
      <c r="D16" t="s">
        <v>53</v>
      </c>
      <c r="E16" s="3">
        <v>64</v>
      </c>
      <c r="F16">
        <v>0</v>
      </c>
    </row>
    <row r="17" spans="1:6">
      <c r="A17" t="s">
        <v>54</v>
      </c>
      <c r="B17" t="s">
        <v>48</v>
      </c>
      <c r="C17" t="s">
        <v>55</v>
      </c>
      <c r="D17" t="s">
        <v>56</v>
      </c>
      <c r="E17" s="3">
        <v>39.5</v>
      </c>
      <c r="F17">
        <v>80</v>
      </c>
    </row>
    <row r="18" spans="1:6">
      <c r="E18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Orders Ledger</vt:lpstr>
      <vt:lpstr>Payment History</vt:lpstr>
      <vt:lpstr>Suppliers</vt:lpstr>
      <vt:lpstr>Supplier Purchases</vt:lpstr>
      <vt:lpstr>Supplier Payments</vt:lpstr>
      <vt:lpstr>Dealers</vt:lpstr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courage brown</dc:creator>
  <cp:lastModifiedBy>courage brown</cp:lastModifiedBy>
  <dcterms:created xsi:type="dcterms:W3CDTF">2026-10-08T14:03:44Z</dcterms:created>
  <dcterms:modified xsi:type="dcterms:W3CDTF">2026-10-08T14:03:47Z</dcterms:modified>
</cp:coreProperties>
</file>